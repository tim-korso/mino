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eti001\.myagents\projects\mino\windows\test\"/>
    </mc:Choice>
  </mc:AlternateContent>
  <xr:revisionPtr revIDLastSave="0" documentId="13_ncr:1_{1D3B6B82-3291-47C7-ADAB-F7D3CB6336C3}" xr6:coauthVersionLast="47" xr6:coauthVersionMax="47" xr10:uidLastSave="{00000000-0000-0000-0000-000000000000}"/>
  <bookViews>
    <workbookView xWindow="-98" yWindow="-98" windowWidth="21795" windowHeight="13096" xr2:uid="{B0AA06D6-A3B6-4100-8B8C-EB2DE3C04BCA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D10" i="1"/>
  <c r="B10" i="1"/>
</calcChain>
</file>

<file path=xl/sharedStrings.xml><?xml version="1.0" encoding="utf-8"?>
<sst xmlns="http://schemas.openxmlformats.org/spreadsheetml/2006/main" count="27" uniqueCount="22">
  <si>
    <t>月份</t>
  </si>
  <si>
    <t>收入</t>
  </si>
  <si>
    <t>成本</t>
  </si>
  <si>
    <t>利润</t>
  </si>
  <si>
    <t>增长率</t>
  </si>
  <si>
    <t>区域</t>
  </si>
  <si>
    <t>1月</t>
  </si>
  <si>
    <t>华东</t>
  </si>
  <si>
    <t>2月</t>
  </si>
  <si>
    <t>华南</t>
  </si>
  <si>
    <t>3月</t>
  </si>
  <si>
    <t>4月</t>
  </si>
  <si>
    <t>华北</t>
  </si>
  <si>
    <t>5月</t>
  </si>
  <si>
    <t>6月</t>
  </si>
  <si>
    <t>7月</t>
  </si>
  <si>
    <t>8月</t>
  </si>
  <si>
    <t>利润率</t>
  </si>
  <si>
    <t>求和项:利润率</t>
  </si>
  <si>
    <t>汇总</t>
  </si>
  <si>
    <t>数据</t>
  </si>
  <si>
    <t>求和项:毛利率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</si>
</sst>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" xfId="0" pivotButton="1" applyBorder="1">
      <alignment vertical="center"/>
    </xf>
    <xf numFmtId="0" fontId="0" fillId="0" borderId="1" xfId="0" applyBorder="1">
      <alignment vertical="center"/>
    </xf>
    <xf numFmtId="0" fontId="0" fillId="0" borderId="2" xfId="0" applyNumberFormat="1" applyBorder="1">
      <alignment vertical="center"/>
    </xf>
    <xf numFmtId="0" fontId="0" fillId="0" borderId="3" xfId="0" applyBorder="1">
      <alignment vertical="center"/>
    </xf>
    <xf numFmtId="0" fontId="0" fillId="0" borderId="4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eti001" refreshedDate="46226.935020833334" createdVersion="1" refreshedVersion="8" recordCount="8" xr:uid="{2C663387-6272-4EBF-9C31-ACDE99C7E979}">
  <cacheSource type="worksheet">
    <worksheetSource ref="A1:F9" sheet="Sheet1"/>
  </cacheSource>
  <cacheFields count="9">
    <cacheField name="月份" numFmtId="0">
      <sharedItems/>
    </cacheField>
    <cacheField name="收入" numFmtId="0">
      <sharedItems containsSemiMixedTypes="0" containsString="0" containsNumber="1" containsInteger="1" minValue="11000" maxValue="35500"/>
    </cacheField>
    <cacheField name="成本" numFmtId="0">
      <sharedItems containsSemiMixedTypes="0" containsString="0" containsNumber="1" containsInteger="1" minValue="7800" maxValue="13000"/>
    </cacheField>
    <cacheField name="利润" numFmtId="0">
      <sharedItems containsSemiMixedTypes="0" containsString="0" containsNumber="1" containsInteger="1" minValue="3200" maxValue="8000"/>
    </cacheField>
    <cacheField name="增长率" numFmtId="0">
      <sharedItems containsSemiMixedTypes="0" containsString="0" containsNumber="1" minValue="0.09" maxValue="0.28000000000000003"/>
    </cacheField>
    <cacheField name="区域" numFmtId="0">
      <sharedItems/>
    </cacheField>
    <cacheField name="TestField" numFmtId="0" formula="收入+利润" databaseField="0"/>
    <cacheField name="利润率" numFmtId="0" formula="利润/收入" databaseField="0"/>
    <cacheField name="毛利率" numFmtId="0" formula="利润/收入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1月"/>
    <n v="35500"/>
    <n v="8500"/>
    <n v="3500"/>
    <n v="0.12"/>
    <s v="华东"/>
  </r>
  <r>
    <s v="2月"/>
    <n v="15000"/>
    <n v="9200"/>
    <n v="5800"/>
    <n v="0.18"/>
    <s v="华南"/>
  </r>
  <r>
    <s v="3月"/>
    <n v="11000"/>
    <n v="7800"/>
    <n v="3200"/>
    <n v="0.09"/>
    <s v="华东"/>
  </r>
  <r>
    <s v="4月"/>
    <n v="18000"/>
    <n v="10500"/>
    <n v="7500"/>
    <n v="0.22"/>
    <s v="华北"/>
  </r>
  <r>
    <s v="5月"/>
    <n v="13500"/>
    <n v="8800"/>
    <n v="4700"/>
    <n v="0.15"/>
    <s v="华南"/>
  </r>
  <r>
    <s v="6月"/>
    <n v="20000"/>
    <n v="12000"/>
    <n v="8000"/>
    <n v="0.25"/>
    <s v="华北"/>
  </r>
  <r>
    <s v="7月"/>
    <n v="16000"/>
    <n v="9500"/>
    <n v="6500"/>
    <n v="0.19"/>
    <s v="华东"/>
  </r>
  <r>
    <s v="8月"/>
    <n v="21000"/>
    <n v="13000"/>
    <n v="8000"/>
    <n v="0.28000000000000003"/>
    <s v="华北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21363-B8B4-4B91-8513-162121F8584F}" name="PivotTable7278" cacheId="0" dataOnRows="1" applyNumberFormats="0" applyBorderFormats="0" applyFontFormats="0" applyPatternFormats="0" applyAlignmentFormats="0" applyWidthHeightFormats="1" dataCaption="数据" updatedVersion="8" showItems="0" showMultipleLabel="0" showMemberPropertyTips="0" useAutoFormatting="1" itemPrintTitles="1" showDropZones="0" indent="0" compact="0" compactData="0" gridDropZones="1">
  <location ref="H12:I14" firstHeaderRow="1" firstDataRow="1" firstDataCol="1"/>
  <pivotFields count="9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dragToRow="0" dragToCol="0" dragToPage="0" showAll="0" includeNewItemsInFilter="1" defaultSubtotal="0"/>
    <pivotField dataField="1" compact="0" outline="0" dragToRow="0" dragToCol="0" dragToPage="0" showAll="0" includeNewItemsInFilter="1" defaultSubtotal="0"/>
    <pivotField dataField="1" compact="0" outline="0" dragToRow="0" dragToCol="0" dragToPage="0" showAll="0" includeNewItemsInFilter="1" defaultSubtota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求和项:利润率" fld="7" baseField="0" baseItem="0"/>
    <dataField name="求和项:毛利率" fld="8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19B0-98B3-45EB-A90D-8D1AA74DCFD8}">
  <dimension ref="A1:I14"/>
  <sheetViews>
    <sheetView tabSelected="1" workbookViewId="0"/>
  </sheetViews>
  <sheetFormatPr defaultRowHeight="13.9" x14ac:dyDescent="0.4"/>
  <cols>
    <col min="8" max="8" width="13.265625" bestFit="1" customWidth="1"/>
    <col min="9" max="9" width="12.1992187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17</v>
      </c>
    </row>
    <row r="2" spans="1:9" x14ac:dyDescent="0.4">
      <c r="A2" t="s">
        <v>6</v>
      </c>
      <c r="B2">
        <v>35500</v>
      </c>
      <c r="C2">
        <v>8500</v>
      </c>
      <c r="D2">
        <v>3500</v>
      </c>
      <c r="E2">
        <v>0.12</v>
      </c>
      <c r="F2" t="s">
        <v>7</v>
      </c>
      <c r="H2">
        <f>D2/B2</f>
        <v>9.8591549295774641E-2</v>
      </c>
    </row>
    <row r="3" spans="1:9" x14ac:dyDescent="0.4">
      <c r="A3" t="s">
        <v>8</v>
      </c>
      <c r="B3">
        <v>15000</v>
      </c>
      <c r="C3">
        <v>9200</v>
      </c>
      <c r="D3">
        <v>5800</v>
      </c>
      <c r="E3">
        <v>0.18</v>
      </c>
      <c r="F3" t="s">
        <v>9</v>
      </c>
    </row>
    <row r="4" spans="1:9" x14ac:dyDescent="0.4">
      <c r="A4" t="s">
        <v>10</v>
      </c>
      <c r="B4">
        <v>11000</v>
      </c>
      <c r="C4">
        <v>7800</v>
      </c>
      <c r="D4">
        <v>3200</v>
      </c>
      <c r="E4">
        <v>0.09</v>
      </c>
      <c r="F4" t="s">
        <v>7</v>
      </c>
    </row>
    <row r="5" spans="1:9" x14ac:dyDescent="0.4">
      <c r="A5" t="s">
        <v>11</v>
      </c>
      <c r="B5">
        <v>18000</v>
      </c>
      <c r="C5">
        <v>10500</v>
      </c>
      <c r="D5">
        <v>7500</v>
      </c>
      <c r="E5">
        <v>0.22</v>
      </c>
      <c r="F5" t="s">
        <v>12</v>
      </c>
    </row>
    <row r="6" spans="1:9" x14ac:dyDescent="0.4">
      <c r="A6" t="s">
        <v>13</v>
      </c>
      <c r="B6">
        <v>13500</v>
      </c>
      <c r="C6">
        <v>8800</v>
      </c>
      <c r="D6">
        <v>4700</v>
      </c>
      <c r="E6">
        <v>0.15</v>
      </c>
      <c r="F6" t="s">
        <v>9</v>
      </c>
    </row>
    <row r="7" spans="1:9" x14ac:dyDescent="0.4">
      <c r="A7" t="s">
        <v>14</v>
      </c>
      <c r="B7">
        <v>20000</v>
      </c>
      <c r="C7">
        <v>12000</v>
      </c>
      <c r="D7">
        <v>8000</v>
      </c>
      <c r="E7">
        <v>0.25</v>
      </c>
      <c r="F7" t="s">
        <v>12</v>
      </c>
    </row>
    <row r="8" spans="1:9" x14ac:dyDescent="0.4">
      <c r="A8" t="s">
        <v>15</v>
      </c>
      <c r="B8">
        <v>16000</v>
      </c>
      <c r="C8">
        <v>9500</v>
      </c>
      <c r="D8">
        <v>6500</v>
      </c>
      <c r="E8">
        <v>0.19</v>
      </c>
      <c r="F8" t="s">
        <v>7</v>
      </c>
    </row>
    <row r="9" spans="1:9" x14ac:dyDescent="0.4">
      <c r="A9" t="s">
        <v>16</v>
      </c>
      <c r="B9">
        <v>21000</v>
      </c>
      <c r="C9">
        <v>13000</v>
      </c>
      <c r="D9">
        <v>8000</v>
      </c>
      <c r="E9">
        <v>0.28000000000000003</v>
      </c>
      <c r="F9" t="s">
        <v>12</v>
      </c>
    </row>
    <row r="10" spans="1:9" x14ac:dyDescent="0.4">
      <c r="B10">
        <f>SUM(B2:B9)</f>
        <v>150000</v>
      </c>
      <c r="D10">
        <f>SUM(D2:D9)</f>
        <v>47200</v>
      </c>
    </row>
    <row r="12" spans="1:9" x14ac:dyDescent="0.4">
      <c r="H12" s="3" t="s">
        <v>20</v>
      </c>
      <c r="I12" s="2" t="s">
        <v>19</v>
      </c>
    </row>
    <row r="13" spans="1:9" x14ac:dyDescent="0.4">
      <c r="H13" s="4" t="s">
        <v>18</v>
      </c>
      <c r="I13" s="5">
        <v>0.31466666666666665</v>
      </c>
    </row>
    <row r="14" spans="1:9" x14ac:dyDescent="0.4">
      <c r="H14" s="6" t="s">
        <v>21</v>
      </c>
      <c r="I14" s="7">
        <v>0.31466666666666665</v>
      </c>
    </row>
  </sheetData>
  <sheetProtection formatCells="0" formatColumns="0" formatRows="0" sort="0" autoFilter="0" pivotTables="0"/>
  <phoneticPr fontId="1" type="noConversion"/>
  <conditionalFormatting sqref="B2:B9">
    <cfRule type="dataBar" priority="1">
      <dataBar>
        <cfvo type="min"/>
        <cfvo type="max"/>
        <color rgb="FFF6823B"/>
      </dataBar>
      <extLst>
        <ext xmlns:x14="http://schemas.microsoft.com/office/spreadsheetml/2009/9/main" uri="{B025F937-C7B1-47D3-B67F-A62EFF666E3E}">
          <x14:id>{274F8794-1488-4F5A-B129-6518C68E24AD}</x14:id>
        </ext>
      </extLst>
    </cfRule>
  </conditionalFormatting>
  <conditionalFormatting sqref="D2:D9">
    <cfRule type="colorScale" priority="2">
      <colorScale>
        <cfvo type="min"/>
        <cfvo type="max"/>
        <color rgb="FF6B6BFF"/>
        <color rgb="FF66CF51"/>
      </colorScale>
    </cfRule>
  </conditionalFormatting>
  <conditionalFormatting sqref="E2:E9">
    <cfRule type="iconSet" priority="3">
      <iconSet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F2:F9" xr:uid="{4C4F3AE4-4B11-409D-B135-14394F0B88CC}">
      <formula1>"A,B,C"</formula1>
    </dataValidation>
    <dataValidation type="whole" allowBlank="1" showInputMessage="1" showErrorMessage="1" sqref="B2:B9" xr:uid="{4E5B66C0-7542-4495-A53D-1458E8B535CF}">
      <formula1>1000</formula1>
      <formula2>50000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4F8794-1488-4F5A-B129-6518C68E24AD}">
            <x14:dataBar minLength="0" maxLength="100" negativeBarColorSameAsPositive="1" axisPosition="none">
              <x14:cfvo type="min"/>
              <x14:cfvo type="max"/>
            </x14:dataBar>
          </x14:cfRule>
          <xm:sqref>B2:B9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xr2:uid="{B1D8E3EA-FA0C-48C3-92A1-C9B3AD01E9EA}">
          <x14:colorSeries rgb="FFF6823B"/>
          <x14:colorNegative rgb="FFD00000"/>
          <x14:colorAxis rgb="FF000000"/>
          <x14:colorMarkers rgb="FFD00000"/>
          <x14:colorFirst rgb="FFD00000"/>
          <x14:colorLast rgb="FFD00000"/>
          <x14:colorHigh rgb="FF66CF51"/>
          <x14:colorLow rgb="FF6B6BFF"/>
          <x14:sparklines>
            <x14:sparkline>
              <xm:f>Sheet1!B2:E2</xm:f>
              <xm:sqref>G2</xm:sqref>
            </x14:sparkline>
            <x14:sparkline>
              <xm:f>Sheet1!B3:E3</xm:f>
              <xm:sqref>G3</xm:sqref>
            </x14:sparkline>
            <x14:sparkline>
              <xm:f>Sheet1!B4:E4</xm:f>
              <xm:sqref>G4</xm:sqref>
            </x14:sparkline>
            <x14:sparkline>
              <xm:f>Sheet1!B5:E5</xm:f>
              <xm:sqref>G5</xm:sqref>
            </x14:sparkline>
            <x14:sparkline>
              <xm:f>Sheet1!B6:E6</xm:f>
              <xm:sqref>G6</xm:sqref>
            </x14:sparkline>
            <x14:sparkline>
              <xm:f>Sheet1!B7:E7</xm:f>
              <xm:sqref>G7</xm:sqref>
            </x14:sparkline>
            <x14:sparkline>
              <xm:f>Sheet1!B8:E8</xm:f>
              <xm:sqref>G8</xm:sqref>
            </x14:sparkline>
            <x14:sparkline>
              <xm:f>Sheet1!B9:E9</xm:f>
              <xm:sqref>G9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zheng</dc:creator>
  <cp:lastModifiedBy>meng zheng</cp:lastModifiedBy>
  <dcterms:created xsi:type="dcterms:W3CDTF">2026-07-23T14:22:46Z</dcterms:created>
  <dcterms:modified xsi:type="dcterms:W3CDTF">2026-07-23T14:28:45Z</dcterms:modified>
</cp:coreProperties>
</file>