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eti001\.myagents\projects\mino\windows\test\"/>
    </mc:Choice>
  </mc:AlternateContent>
  <xr:revisionPtr revIDLastSave="0" documentId="8_{257DEF03-9F5C-4B3D-A4A9-4418FD084BE7}" xr6:coauthVersionLast="47" xr6:coauthVersionMax="47" xr10:uidLastSave="{00000000-0000-0000-0000-000000000000}"/>
  <bookViews>
    <workbookView xWindow="-98" yWindow="-98" windowWidth="21795" windowHeight="13096" firstSheet="1" activeTab="1" xr2:uid="{9D9E33F9-A408-4051-A22E-3E2662E99525}"/>
  </bookViews>
  <sheets>
    <sheet name="_pivot" sheetId="5" state="veryHidden" r:id="rId1"/>
    <sheet name="Portfolio Analysis" sheetId="4" r:id="rId2"/>
    <sheet name="Signal Heat Matrix" sheetId="3" r:id="rId3"/>
    <sheet name="Tech Watchlist" sheetId="2" r:id="rId4"/>
    <sheet name="Farm Dashboard" sheetId="1" r:id="rId5"/>
  </sheets>
  <calcPr calcId="191029"/>
  <pivotCaches>
    <pivotCache cacheId="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0" i="4" l="1"/>
  <c r="D20" i="4"/>
  <c r="E19" i="4"/>
  <c r="D19" i="4"/>
  <c r="E18" i="4"/>
  <c r="D18" i="4"/>
  <c r="E17" i="4"/>
  <c r="D17" i="4"/>
  <c r="E16" i="4"/>
  <c r="D16" i="4"/>
  <c r="E15" i="4"/>
  <c r="D15" i="4"/>
  <c r="F9" i="4"/>
  <c r="E9" i="4"/>
  <c r="F8" i="4"/>
  <c r="E8" i="4"/>
  <c r="F7" i="4"/>
  <c r="E7" i="4"/>
  <c r="F6" i="4"/>
  <c r="E6" i="4"/>
  <c r="G12" i="3"/>
  <c r="G11" i="3"/>
  <c r="G10" i="3"/>
  <c r="G9" i="3"/>
  <c r="G8" i="3"/>
  <c r="G7" i="3"/>
  <c r="G6" i="3"/>
  <c r="G5" i="3"/>
  <c r="B18" i="2"/>
  <c r="B16" i="2"/>
  <c r="J12" i="2"/>
  <c r="E12" i="2"/>
  <c r="J11" i="2"/>
  <c r="E11" i="2"/>
  <c r="J10" i="2"/>
  <c r="E10" i="2"/>
  <c r="J9" i="2"/>
  <c r="E9" i="2"/>
  <c r="J8" i="2"/>
  <c r="E8" i="2"/>
  <c r="J7" i="2"/>
  <c r="E7" i="2"/>
  <c r="J6" i="2"/>
  <c r="E6" i="2"/>
  <c r="J5" i="2"/>
  <c r="E5" i="2"/>
  <c r="B16" i="1"/>
  <c r="B15" i="1"/>
  <c r="B18" i="1"/>
</calcChain>
</file>

<file path=xl/sharedStrings.xml><?xml version="1.0" encoding="utf-8"?>
<sst xmlns="http://schemas.openxmlformats.org/spreadsheetml/2006/main" count="186" uniqueCount="129">
  <si>
    <t>Hope Farm Dashboard 2026-07-23</t>
  </si>
  <si>
    <t>Windows | WebSearch Engine | Staleness: 0d | Detectors: OFFLINE (API quota exhausted)</t>
  </si>
  <si>
    <t>Field</t>
  </si>
  <si>
    <t>Status</t>
  </si>
  <si>
    <t>Priority</t>
  </si>
  <si>
    <t>Health Score</t>
  </si>
  <si>
    <t>Token/Wk (K)</t>
  </si>
  <si>
    <t>Staleness (d)</t>
  </si>
  <si>
    <t>Trend</t>
  </si>
  <si>
    <t>Alert</t>
  </si>
  <si>
    <t>Finance Reg</t>
  </si>
  <si>
    <t>Pipeline Frozen</t>
  </si>
  <si>
    <t>P2</t>
  </si>
  <si>
    <t>DOWN</t>
  </si>
  <si>
    <t>OK</t>
  </si>
  <si>
    <t>Tech Watchlist</t>
  </si>
  <si>
    <t>Detector Down</t>
  </si>
  <si>
    <t>WARNING</t>
  </si>
  <si>
    <t>Finance Digest</t>
  </si>
  <si>
    <t>Status Unknown</t>
  </si>
  <si>
    <t>P1</t>
  </si>
  <si>
    <t>FLAT</t>
  </si>
  <si>
    <t>Deep Research</t>
  </si>
  <si>
    <t>Queue Backlog</t>
  </si>
  <si>
    <t>P3</t>
  </si>
  <si>
    <t>Shopping Verify</t>
  </si>
  <si>
    <t>Sleeping</t>
  </si>
  <si>
    <t>P4</t>
  </si>
  <si>
    <t>Illusion Gen</t>
  </si>
  <si>
    <t>Fallow</t>
  </si>
  <si>
    <t>CRITICAL</t>
  </si>
  <si>
    <t>SUMMARY</t>
  </si>
  <si>
    <t>Active Fields</t>
  </si>
  <si>
    <t>Fallow/Sleeping</t>
  </si>
  <si>
    <t>Avg Health</t>
  </si>
  <si>
    <t>Total Token/Wk (K)</t>
  </si>
  <si>
    <t>Normal Wk Target (K)</t>
  </si>
  <si>
    <t>Utilization %</t>
  </si>
  <si>
    <t>Tech Company Cognitive Gap Watchlist</t>
  </si>
  <si>
    <t>8 Companies | Scan #41 | 2026-07-23 22:00 CST | Weighted Avg Repair: ~45% | Detectors OFFLINE</t>
  </si>
  <si>
    <t>Company</t>
  </si>
  <si>
    <t>Sector</t>
  </si>
  <si>
    <t>Repair W29</t>
  </si>
  <si>
    <t>Repair W30</t>
  </si>
  <si>
    <t>Delta</t>
  </si>
  <si>
    <t>Cog Gap</t>
  </si>
  <si>
    <t>Sig Density</t>
  </si>
  <si>
    <t>Sig Level</t>
  </si>
  <si>
    <t>4-Wk Trend</t>
  </si>
  <si>
    <t>Risk Zone</t>
  </si>
  <si>
    <t>Action</t>
  </si>
  <si>
    <t>Key Note</t>
  </si>
  <si>
    <t>BeiGene</t>
  </si>
  <si>
    <t>Biotech</t>
  </si>
  <si>
    <t>Low</t>
  </si>
  <si>
    <t>MONITOR</t>
  </si>
  <si>
    <t>Ready for harvest. Quarterly tracking only.</t>
  </si>
  <si>
    <t>SenseTime</t>
  </si>
  <si>
    <t>AI Infra</t>
  </si>
  <si>
    <t>High</t>
  </si>
  <si>
    <t>U1 Pro launched 7/18. Signal 5 triggered. NEO-unify confirmed.</t>
  </si>
  <si>
    <t>Zhipu AI</t>
  </si>
  <si>
    <t>LLM</t>
  </si>
  <si>
    <t>Critical</t>
  </si>
  <si>
    <t>ARR . Stock rollercoaster -60% peak. Acquisition completed.</t>
  </si>
  <si>
    <t>DeepSeek</t>
  </si>
  <si>
    <t>V4 promise missed. De-CUDA breakthrough. 7/24 deadline TOMORROW.</t>
  </si>
  <si>
    <t>Cambricon</t>
  </si>
  <si>
    <t>AI Chip</t>
  </si>
  <si>
    <t>Medium</t>
  </si>
  <si>
    <t>Q2 alert anomaly Day 9. Stock partially recovered. 8/8 earnings.</t>
  </si>
  <si>
    <t>Fourth Paradigm</t>
  </si>
  <si>
    <t>Positive profit alert. +8pp. Q2 earnings August.</t>
  </si>
  <si>
    <t>UBTECH</t>
  </si>
  <si>
    <t>Robotics</t>
  </si>
  <si>
    <t>Tail payment vacuum Day 9. Production quantified. -5pp.</t>
  </si>
  <si>
    <t>Kimi K3 (NEW)</t>
  </si>
  <si>
    <t>2.8T MoE. Frontend Arena #1. .5B val. IPO imminent.</t>
  </si>
  <si>
    <t>GOAL SEEK ANALYSIS</t>
  </si>
  <si>
    <t>Current Avg Repair</t>
  </si>
  <si>
    <t>Target Avg Repair</t>
  </si>
  <si>
    <t>Gap to Target</t>
  </si>
  <si>
    <t>Portfolio needs ~5pp avg improvement. Kimi K3 (+25) and SenseTime (+12) are biggest positive levers. UBTECH (-5) is the main drag.</t>
  </si>
  <si>
    <t>Signal Heat Matrix - Company x Signal Type</t>
  </si>
  <si>
    <t>5 = Explosive | 4 = High | 3 = Medium | 2 = Low | 1 = Dormant</t>
  </si>
  <si>
    <t>Technology</t>
  </si>
  <si>
    <t>Product</t>
  </si>
  <si>
    <t>Commercial</t>
  </si>
  <si>
    <t>Funding</t>
  </si>
  <si>
    <t>Regulatory</t>
  </si>
  <si>
    <t>Total Intensity</t>
  </si>
  <si>
    <t>TOP SIGNAL DRIVERS THIS WEEK</t>
  </si>
  <si>
    <t>1. Kimi K3: 2.8T MoE + Frontend Arena #1 + .5B valuation + IPO imminent</t>
  </si>
  <si>
    <t>2. Zhipu: ARR  + acquisition + stock rollercoaster (-60% from peak)</t>
  </si>
  <si>
    <t>3. SenseTime: U1 Pro delivery-grade + NEO-unify architecture + WAIC launch</t>
  </si>
  <si>
    <t>Pattern: Commercial &amp; Funding dominate - market is pricing revenue reality, not tech narrative</t>
  </si>
  <si>
    <t>Portfolio Health &amp; Resource Allocation</t>
  </si>
  <si>
    <t>WEEKLY TREND</t>
  </si>
  <si>
    <t>Week</t>
  </si>
  <si>
    <t>Avg Repair %</t>
  </si>
  <si>
    <t>Signals</t>
  </si>
  <si>
    <t>Tokens (K)</t>
  </si>
  <si>
    <t>Health</t>
  </si>
  <si>
    <t>Farm Status</t>
  </si>
  <si>
    <t>W27</t>
  </si>
  <si>
    <t>W28</t>
  </si>
  <si>
    <t>W29</t>
  </si>
  <si>
    <t>W30</t>
  </si>
  <si>
    <t>FARM vs NORMAL: RESOURCE ALLOCATION</t>
  </si>
  <si>
    <t>Metric</t>
  </si>
  <si>
    <t>This Week</t>
  </si>
  <si>
    <t>Normal Week</t>
  </si>
  <si>
    <t>% of Normal</t>
  </si>
  <si>
    <t>Total Token (K)</t>
  </si>
  <si>
    <t>Signals Scanned</t>
  </si>
  <si>
    <t>Detector Uptime %</t>
  </si>
  <si>
    <t>Deep Research Tasks</t>
  </si>
  <si>
    <t>Cron Jobs Running</t>
  </si>
  <si>
    <t>SECTOR ANALYSIS: PIVOT + CALCULATED FIELD</t>
  </si>
  <si>
    <t>Repair</t>
  </si>
  <si>
    <t>Gap</t>
  </si>
  <si>
    <t>SignalDensity</t>
  </si>
  <si>
    <t>行标签</t>
  </si>
  <si>
    <t>总计</t>
  </si>
  <si>
    <t>平均值项:Repair</t>
  </si>
  <si>
    <t>平均值项:Gap</t>
  </si>
  <si>
    <t>平均值项:SignalDensity</t>
  </si>
  <si>
    <t>求和项:EfficiencyScore</t>
  </si>
  <si>
    <t>PORTFOLIO TREND 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</si>
</sst>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"/>
  </numFmts>
  <fonts count="13" x14ac:knownFonts="1">
    <font>
      <sz val="11"/>
      <color theme="1"/>
      <name val="等线"/>
      <family val="2"/>
      <charset val="134"/>
      <scheme val="minor"/>
    </font>
    <font>
      <b/>
      <sz val="20"/>
      <color rgb="FF3C3C3C"/>
      <name val="等线"/>
      <family val="3"/>
      <charset val="134"/>
      <scheme val="minor"/>
    </font>
    <font>
      <sz val="9"/>
      <color rgb="FF96A0A8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13"/>
      <color theme="1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C3C3C"/>
        <bgColor indexed="64"/>
      </patternFill>
    </fill>
    <fill>
      <patternFill patternType="solid">
        <fgColor rgb="FFFFE0E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176" fontId="0" fillId="0" borderId="0" xfId="0" applyNumberFormat="1">
      <alignment vertical="center"/>
    </xf>
    <xf numFmtId="0" fontId="9" fillId="0" borderId="0" xfId="0" applyFont="1">
      <alignment vertical="center"/>
    </xf>
    <xf numFmtId="0" fontId="5" fillId="3" borderId="0" xfId="0" applyFont="1" applyFill="1">
      <alignment vertical="center"/>
    </xf>
    <xf numFmtId="0" fontId="6" fillId="3" borderId="0" xfId="0" applyFont="1" applyFill="1">
      <alignment vertical="center"/>
    </xf>
    <xf numFmtId="0" fontId="10" fillId="0" borderId="0" xfId="0" applyFont="1">
      <alignment vertical="center"/>
    </xf>
    <xf numFmtId="177" fontId="0" fillId="0" borderId="0" xfId="0" applyNumberFormat="1">
      <alignment vertical="center"/>
    </xf>
    <xf numFmtId="0" fontId="0" fillId="0" borderId="0" xfId="0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1" fillId="0" borderId="0" xfId="0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2" fontId="0" fillId="0" borderId="0" xfId="0" applyNumberFormat="1">
      <alignment vertical="center"/>
    </xf>
  </cellXfs>
  <cellStyles count="1">
    <cellStyle name="常规" xfId="0" builtinId="0"/>
  </cellStyles>
  <dxfs count="2">
    <dxf>
      <fill>
        <patternFill>
          <bgColor rgb="FF17A0D4"/>
        </patternFill>
      </fill>
    </dxf>
    <dxf>
      <fill>
        <patternFill>
          <bgColor rgb="FF17A0D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zh-CN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Repair Progress (4 Weeks)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zh-CN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'Portfolio Analysis'!$A$6</c:f>
              <c:strCache>
                <c:ptCount val="1"/>
                <c:pt idx="0">
                  <c:v>W27</c:v>
                </c:pt>
              </c:strCache>
            </c:strRef>
          </c:tx>
          <c:spPr>
            <a:solidFill>
              <a:srgbClr val="78904D"/>
            </a:solidFill>
            <a:ln>
              <a:noFill/>
            </a:ln>
            <a:effectLst/>
          </c:spPr>
          <c:invertIfNegative val="0"/>
          <c:cat>
            <c:strRef>
              <c:f>'Portfolio Analysis'!$B$5</c:f>
              <c:strCache>
                <c:ptCount val="1"/>
                <c:pt idx="0">
                  <c:v>Avg Repair %</c:v>
                </c:pt>
              </c:strCache>
            </c:strRef>
          </c:cat>
          <c:val>
            <c:numRef>
              <c:f>'Portfolio Analysis'!$B$6</c:f>
              <c:numCache>
                <c:formatCode>General</c:formatCode>
                <c:ptCount val="1"/>
                <c:pt idx="0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33-4E1E-AA8B-8937D0829A9F}"/>
            </c:ext>
          </c:extLst>
        </c:ser>
        <c:ser>
          <c:idx val="1"/>
          <c:order val="1"/>
          <c:tx>
            <c:strRef>
              <c:f>'Portfolio Analysis'!$A$7</c:f>
              <c:strCache>
                <c:ptCount val="1"/>
                <c:pt idx="0">
                  <c:v>W28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'Portfolio Analysis'!$B$5</c:f>
              <c:strCache>
                <c:ptCount val="1"/>
                <c:pt idx="0">
                  <c:v>Avg Repair %</c:v>
                </c:pt>
              </c:strCache>
            </c:strRef>
          </c:cat>
          <c:val>
            <c:numRef>
              <c:f>'Portfolio Analysis'!$B$7</c:f>
              <c:numCache>
                <c:formatCode>General</c:formatCode>
                <c:ptCount val="1"/>
                <c:pt idx="0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33-4E1E-AA8B-8937D0829A9F}"/>
            </c:ext>
          </c:extLst>
        </c:ser>
        <c:ser>
          <c:idx val="2"/>
          <c:order val="2"/>
          <c:tx>
            <c:strRef>
              <c:f>'Portfolio Analysis'!$A$8</c:f>
              <c:strCache>
                <c:ptCount val="1"/>
                <c:pt idx="0">
                  <c:v>W29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'Portfolio Analysis'!$B$5</c:f>
              <c:strCache>
                <c:ptCount val="1"/>
                <c:pt idx="0">
                  <c:v>Avg Repair %</c:v>
                </c:pt>
              </c:strCache>
            </c:strRef>
          </c:cat>
          <c:val>
            <c:numRef>
              <c:f>'Portfolio Analysis'!$B$8</c:f>
              <c:numCache>
                <c:formatCode>General</c:formatCode>
                <c:ptCount val="1"/>
                <c:pt idx="0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33-4E1E-AA8B-8937D0829A9F}"/>
            </c:ext>
          </c:extLst>
        </c:ser>
        <c:ser>
          <c:idx val="3"/>
          <c:order val="3"/>
          <c:tx>
            <c:strRef>
              <c:f>'Portfolio Analysis'!$A$9</c:f>
              <c:strCache>
                <c:ptCount val="1"/>
                <c:pt idx="0">
                  <c:v>W30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'Portfolio Analysis'!$B$5</c:f>
              <c:strCache>
                <c:ptCount val="1"/>
                <c:pt idx="0">
                  <c:v>Avg Repair %</c:v>
                </c:pt>
              </c:strCache>
            </c:strRef>
          </c:cat>
          <c:val>
            <c:numRef>
              <c:f>'Portfolio Analysis'!$B$9</c:f>
              <c:numCache>
                <c:formatCode>General</c:formatCode>
                <c:ptCount val="1"/>
                <c:pt idx="0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33-4E1E-AA8B-8937D0829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9873760"/>
        <c:axId val="519874240"/>
      </c:barChart>
      <c:catAx>
        <c:axId val="51987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9874240"/>
        <c:crosses val="autoZero"/>
        <c:auto val="1"/>
        <c:lblAlgn val="ctr"/>
        <c:lblOffset val="100"/>
        <c:noMultiLvlLbl val="0"/>
      </c:catAx>
      <c:valAx>
        <c:axId val="51987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9873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zh-CN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Token Consumption (K)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zh-CN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'Portfolio Analysis'!$A$6</c:f>
              <c:strCache>
                <c:ptCount val="1"/>
                <c:pt idx="0">
                  <c:v>W27</c:v>
                </c:pt>
              </c:strCache>
            </c:strRef>
          </c:tx>
          <c:spPr>
            <a:solidFill>
              <a:srgbClr val="F0B030"/>
            </a:solidFill>
            <a:ln>
              <a:noFill/>
            </a:ln>
            <a:effectLst/>
          </c:spPr>
          <c:invertIfNegative val="0"/>
          <c:cat>
            <c:strRef>
              <c:f>'Portfolio Analysis'!$D$5</c:f>
              <c:strCache>
                <c:ptCount val="1"/>
                <c:pt idx="0">
                  <c:v>Tokens (K)</c:v>
                </c:pt>
              </c:strCache>
            </c:strRef>
          </c:cat>
          <c:val>
            <c:numRef>
              <c:f>'Portfolio Analysis'!$D$6</c:f>
              <c:numCache>
                <c:formatCode>General</c:formatCode>
                <c:ptCount val="1"/>
                <c:pt idx="0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BE-4458-BC3B-43E5BE2C293C}"/>
            </c:ext>
          </c:extLst>
        </c:ser>
        <c:ser>
          <c:idx val="1"/>
          <c:order val="1"/>
          <c:tx>
            <c:strRef>
              <c:f>'Portfolio Analysis'!$A$7</c:f>
              <c:strCache>
                <c:ptCount val="1"/>
                <c:pt idx="0">
                  <c:v>W28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'Portfolio Analysis'!$D$5</c:f>
              <c:strCache>
                <c:ptCount val="1"/>
                <c:pt idx="0">
                  <c:v>Tokens (K)</c:v>
                </c:pt>
              </c:strCache>
            </c:strRef>
          </c:cat>
          <c:val>
            <c:numRef>
              <c:f>'Portfolio Analysis'!$D$7</c:f>
              <c:numCache>
                <c:formatCode>General</c:formatCode>
                <c:ptCount val="1"/>
                <c:pt idx="0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BE-4458-BC3B-43E5BE2C293C}"/>
            </c:ext>
          </c:extLst>
        </c:ser>
        <c:ser>
          <c:idx val="2"/>
          <c:order val="2"/>
          <c:tx>
            <c:strRef>
              <c:f>'Portfolio Analysis'!$A$8</c:f>
              <c:strCache>
                <c:ptCount val="1"/>
                <c:pt idx="0">
                  <c:v>W29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'Portfolio Analysis'!$D$5</c:f>
              <c:strCache>
                <c:ptCount val="1"/>
                <c:pt idx="0">
                  <c:v>Tokens (K)</c:v>
                </c:pt>
              </c:strCache>
            </c:strRef>
          </c:cat>
          <c:val>
            <c:numRef>
              <c:f>'Portfolio Analysis'!$D$8</c:f>
              <c:numCache>
                <c:formatCode>General</c:formatCode>
                <c:ptCount val="1"/>
                <c:pt idx="0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BE-4458-BC3B-43E5BE2C293C}"/>
            </c:ext>
          </c:extLst>
        </c:ser>
        <c:ser>
          <c:idx val="3"/>
          <c:order val="3"/>
          <c:tx>
            <c:strRef>
              <c:f>'Portfolio Analysis'!$A$9</c:f>
              <c:strCache>
                <c:ptCount val="1"/>
                <c:pt idx="0">
                  <c:v>W30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'Portfolio Analysis'!$D$5</c:f>
              <c:strCache>
                <c:ptCount val="1"/>
                <c:pt idx="0">
                  <c:v>Tokens (K)</c:v>
                </c:pt>
              </c:strCache>
            </c:strRef>
          </c:cat>
          <c:val>
            <c:numRef>
              <c:f>'Portfolio Analysis'!$D$9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BE-4458-BC3B-43E5BE2C2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9876160"/>
        <c:axId val="521215120"/>
      </c:barChart>
      <c:catAx>
        <c:axId val="51987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1215120"/>
        <c:crosses val="autoZero"/>
        <c:auto val="1"/>
        <c:lblAlgn val="ctr"/>
        <c:lblOffset val="100"/>
        <c:noMultiLvlLbl val="0"/>
      </c:catAx>
      <c:valAx>
        <c:axId val="52121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987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0</xdr:rowOff>
    </xdr:from>
    <xdr:to>
      <xdr:col>5</xdr:col>
      <xdr:colOff>98425</xdr:colOff>
      <xdr:row>54</xdr:row>
      <xdr:rowOff>31750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59F580A-5105-96AC-4CE1-E2CF7366B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352425</xdr:colOff>
      <xdr:row>34</xdr:row>
      <xdr:rowOff>0</xdr:rowOff>
    </xdr:from>
    <xdr:to>
      <xdr:col>13</xdr:col>
      <xdr:colOff>474662</xdr:colOff>
      <xdr:row>54</xdr:row>
      <xdr:rowOff>31750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29FF83D-2B10-0F7E-9CAB-0E72298611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heti001" refreshedDate="46226.947523726849" createdVersion="4" refreshedVersion="8" minRefreshableVersion="3" recordCount="8" xr:uid="{93A70EE6-56BE-4B11-B583-AD5F00FD92BC}">
  <cacheSource type="worksheet">
    <worksheetSource ref="A1:E9" sheet="_pivot"/>
  </cacheSource>
  <cacheFields count="6">
    <cacheField name="Company" numFmtId="0">
      <sharedItems/>
    </cacheField>
    <cacheField name="Sector" numFmtId="0">
      <sharedItems count="5">
        <s v="Biotech"/>
        <s v="AI Infra"/>
        <s v="LLM"/>
        <s v="AI Chip"/>
        <s v="Robotics"/>
      </sharedItems>
    </cacheField>
    <cacheField name="Repair" numFmtId="0">
      <sharedItems containsSemiMixedTypes="0" containsString="0" containsNumber="1" containsInteger="1" minValue="25" maxValue="84"/>
    </cacheField>
    <cacheField name="Gap" numFmtId="0">
      <sharedItems containsSemiMixedTypes="0" containsString="0" containsNumber="1" minValue="0.8" maxValue="3"/>
    </cacheField>
    <cacheField name="SignalDensity" numFmtId="0">
      <sharedItems containsSemiMixedTypes="0" containsString="0" containsNumber="1" containsInteger="1" minValue="1" maxValue="5"/>
    </cacheField>
    <cacheField name="EfficiencyScore" numFmtId="0" formula="Repair/ (Gap*SignalDensity 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BeiGene"/>
    <x v="0"/>
    <n v="84"/>
    <n v="0.8"/>
    <n v="1"/>
  </r>
  <r>
    <s v="SenseTime"/>
    <x v="1"/>
    <n v="52"/>
    <n v="2.2000000000000002"/>
    <n v="4"/>
  </r>
  <r>
    <s v="Zhipu AI"/>
    <x v="2"/>
    <n v="52"/>
    <n v="2.5"/>
    <n v="5"/>
  </r>
  <r>
    <s v="DeepSeek"/>
    <x v="2"/>
    <n v="43"/>
    <n v="2"/>
    <n v="4"/>
  </r>
  <r>
    <s v="Cambricon"/>
    <x v="3"/>
    <n v="40"/>
    <n v="2.6"/>
    <n v="3"/>
  </r>
  <r>
    <s v="Fourth Paradigm"/>
    <x v="3"/>
    <n v="38"/>
    <n v="2.8"/>
    <n v="2"/>
  </r>
  <r>
    <s v="UBTECH"/>
    <x v="4"/>
    <n v="28"/>
    <n v="3"/>
    <n v="2"/>
  </r>
  <r>
    <s v="Kimi K3 (NEW)"/>
    <x v="2"/>
    <n v="25"/>
    <n v="3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CD22E5-BEF9-447F-BE64-DDBD0589EB47}" name="FarmPivot" cacheId="4" applyNumberFormats="0" applyBorderFormats="0" applyFontFormats="0" applyPatternFormats="0" applyAlignmentFormats="0" applyWidthHeightFormats="1" dataCaption="值" updatedVersion="8" minRefreshableVersion="3" useAutoFormatting="1" itemPrintTitles="1" createdVersion="4" indent="0" outline="1" outlineData="1" multipleFieldFilters="0">
  <location ref="A24:E30" firstHeaderRow="0" firstDataRow="1" firstDataCol="1"/>
  <pivotFields count="6">
    <pivotField showAll="0"/>
    <pivotField axis="axisRow" showAll="0">
      <items count="6">
        <item x="3"/>
        <item x="1"/>
        <item x="0"/>
        <item x="2"/>
        <item x="4"/>
        <item t="default"/>
      </items>
    </pivotField>
    <pivotField dataField="1" showAll="0"/>
    <pivotField dataField="1" showAll="0"/>
    <pivotField dataField="1" showAll="0"/>
    <pivotField dataField="1" dragToRow="0" dragToCol="0" dragToPage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平均值项:Repair" fld="2" subtotal="average" baseField="0" baseItem="0" numFmtId="177"/>
    <dataField name="平均值项:Gap" fld="3" subtotal="average" baseField="0" baseItem="0" numFmtId="2"/>
    <dataField name="平均值项:SignalDensity" fld="4" subtotal="average" baseField="0" baseItem="0" numFmtId="177"/>
    <dataField name="求和项:EfficiencyScore" fld="5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ED25E-85C2-4898-9CAF-6A75540FE8F1}">
  <dimension ref="A1:E9"/>
  <sheetViews>
    <sheetView workbookViewId="0"/>
  </sheetViews>
  <sheetFormatPr defaultRowHeight="13.9" x14ac:dyDescent="0.4"/>
  <sheetData>
    <row r="1" spans="1:5" x14ac:dyDescent="0.4">
      <c r="A1" t="s">
        <v>40</v>
      </c>
      <c r="B1" t="s">
        <v>41</v>
      </c>
      <c r="C1" t="s">
        <v>119</v>
      </c>
      <c r="D1" t="s">
        <v>120</v>
      </c>
      <c r="E1" t="s">
        <v>121</v>
      </c>
    </row>
    <row r="2" spans="1:5" x14ac:dyDescent="0.4">
      <c r="A2" t="s">
        <v>52</v>
      </c>
      <c r="B2" t="s">
        <v>53</v>
      </c>
      <c r="C2">
        <v>84</v>
      </c>
      <c r="D2">
        <v>0.8</v>
      </c>
      <c r="E2">
        <v>1</v>
      </c>
    </row>
    <row r="3" spans="1:5" x14ac:dyDescent="0.4">
      <c r="A3" t="s">
        <v>57</v>
      </c>
      <c r="B3" t="s">
        <v>58</v>
      </c>
      <c r="C3">
        <v>52</v>
      </c>
      <c r="D3">
        <v>2.2000000000000002</v>
      </c>
      <c r="E3">
        <v>4</v>
      </c>
    </row>
    <row r="4" spans="1:5" x14ac:dyDescent="0.4">
      <c r="A4" t="s">
        <v>61</v>
      </c>
      <c r="B4" t="s">
        <v>62</v>
      </c>
      <c r="C4">
        <v>52</v>
      </c>
      <c r="D4">
        <v>2.5</v>
      </c>
      <c r="E4">
        <v>5</v>
      </c>
    </row>
    <row r="5" spans="1:5" x14ac:dyDescent="0.4">
      <c r="A5" t="s">
        <v>65</v>
      </c>
      <c r="B5" t="s">
        <v>62</v>
      </c>
      <c r="C5">
        <v>43</v>
      </c>
      <c r="D5">
        <v>2</v>
      </c>
      <c r="E5">
        <v>4</v>
      </c>
    </row>
    <row r="6" spans="1:5" x14ac:dyDescent="0.4">
      <c r="A6" t="s">
        <v>67</v>
      </c>
      <c r="B6" t="s">
        <v>68</v>
      </c>
      <c r="C6">
        <v>40</v>
      </c>
      <c r="D6">
        <v>2.6</v>
      </c>
      <c r="E6">
        <v>3</v>
      </c>
    </row>
    <row r="7" spans="1:5" x14ac:dyDescent="0.4">
      <c r="A7" t="s">
        <v>71</v>
      </c>
      <c r="B7" t="s">
        <v>68</v>
      </c>
      <c r="C7">
        <v>38</v>
      </c>
      <c r="D7">
        <v>2.8</v>
      </c>
      <c r="E7">
        <v>2</v>
      </c>
    </row>
    <row r="8" spans="1:5" x14ac:dyDescent="0.4">
      <c r="A8" t="s">
        <v>73</v>
      </c>
      <c r="B8" t="s">
        <v>74</v>
      </c>
      <c r="C8">
        <v>28</v>
      </c>
      <c r="D8">
        <v>3</v>
      </c>
      <c r="E8">
        <v>2</v>
      </c>
    </row>
    <row r="9" spans="1:5" x14ac:dyDescent="0.4">
      <c r="A9" t="s">
        <v>76</v>
      </c>
      <c r="B9" t="s">
        <v>62</v>
      </c>
      <c r="C9">
        <v>25</v>
      </c>
      <c r="D9">
        <v>3</v>
      </c>
      <c r="E9">
        <v>5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BC536-FC74-4AB2-A486-968D61A58F1D}">
  <dimension ref="A1:F34"/>
  <sheetViews>
    <sheetView tabSelected="1" workbookViewId="0">
      <selection sqref="A1:F1"/>
    </sheetView>
  </sheetViews>
  <sheetFormatPr defaultRowHeight="13.9" x14ac:dyDescent="0.4"/>
  <cols>
    <col min="1" max="1" width="9.06640625" bestFit="1" customWidth="1"/>
    <col min="2" max="2" width="15.19921875" bestFit="1" customWidth="1"/>
    <col min="3" max="3" width="12.9296875" bestFit="1" customWidth="1"/>
    <col min="4" max="4" width="21.9296875" bestFit="1" customWidth="1"/>
    <col min="5" max="5" width="21.265625" bestFit="1" customWidth="1"/>
    <col min="6" max="6" width="16.59765625" customWidth="1"/>
  </cols>
  <sheetData>
    <row r="1" spans="1:6" ht="22.5" x14ac:dyDescent="0.4">
      <c r="A1" s="10" t="s">
        <v>96</v>
      </c>
      <c r="B1" s="10"/>
      <c r="C1" s="10"/>
      <c r="D1" s="10"/>
      <c r="E1" s="10"/>
      <c r="F1" s="10"/>
    </row>
    <row r="3" spans="1:6" ht="16.5" x14ac:dyDescent="0.4">
      <c r="A3" s="13" t="s">
        <v>97</v>
      </c>
    </row>
    <row r="5" spans="1:6" x14ac:dyDescent="0.4">
      <c r="A5" s="5" t="s">
        <v>98</v>
      </c>
      <c r="B5" s="5" t="s">
        <v>99</v>
      </c>
      <c r="C5" s="5" t="s">
        <v>100</v>
      </c>
      <c r="D5" s="5" t="s">
        <v>101</v>
      </c>
      <c r="E5" s="5" t="s">
        <v>102</v>
      </c>
      <c r="F5" s="5" t="s">
        <v>103</v>
      </c>
    </row>
    <row r="6" spans="1:6" x14ac:dyDescent="0.4">
      <c r="A6" s="6" t="s">
        <v>104</v>
      </c>
      <c r="B6" s="7">
        <v>45</v>
      </c>
      <c r="C6" s="7">
        <v>3</v>
      </c>
      <c r="D6" s="7">
        <v>320</v>
      </c>
      <c r="E6" s="7" t="str">
        <f>IF(B6&gt;=45,"HEALTHY",IF(B6&gt;=40,"WARNING","CRITICAL"))</f>
        <v>HEALTHY</v>
      </c>
      <c r="F6" s="7" t="str">
        <f>IF(AND(B6&gt;=44, D6&gt;=100),"NORMAL",IF(D6&lt;50,"STALLED","DEGRADED"))</f>
        <v>NORMAL</v>
      </c>
    </row>
    <row r="7" spans="1:6" x14ac:dyDescent="0.4">
      <c r="A7" s="6" t="s">
        <v>105</v>
      </c>
      <c r="B7" s="7">
        <v>44</v>
      </c>
      <c r="C7" s="7">
        <v>27</v>
      </c>
      <c r="D7" s="7">
        <v>280</v>
      </c>
      <c r="E7" s="7" t="str">
        <f>IF(B7&gt;=45,"HEALTHY",IF(B7&gt;=40,"WARNING","CRITICAL"))</f>
        <v>WARNING</v>
      </c>
      <c r="F7" s="7" t="str">
        <f>IF(AND(B7&gt;=44, D7&gt;=100),"NORMAL",IF(D7&lt;50,"STALLED","DEGRADED"))</f>
        <v>NORMAL</v>
      </c>
    </row>
    <row r="8" spans="1:6" x14ac:dyDescent="0.4">
      <c r="A8" s="11" t="s">
        <v>106</v>
      </c>
      <c r="B8" s="12">
        <v>43</v>
      </c>
      <c r="C8" s="12">
        <v>0</v>
      </c>
      <c r="D8" s="12">
        <v>45</v>
      </c>
      <c r="E8" s="12" t="str">
        <f>IF(B8&gt;=45,"HEALTHY",IF(B8&gt;=40,"WARNING","CRITICAL"))</f>
        <v>WARNING</v>
      </c>
      <c r="F8" s="12" t="str">
        <f>IF(AND(B8&gt;=44, D8&gt;=100),"NORMAL",IF(D8&lt;50,"STALLED","DEGRADED"))</f>
        <v>STALLED</v>
      </c>
    </row>
    <row r="9" spans="1:6" x14ac:dyDescent="0.4">
      <c r="A9" s="11" t="s">
        <v>107</v>
      </c>
      <c r="B9" s="12">
        <v>44</v>
      </c>
      <c r="C9" s="12">
        <v>5</v>
      </c>
      <c r="D9" s="12">
        <v>15</v>
      </c>
      <c r="E9" s="12" t="str">
        <f>IF(B9&gt;=45,"HEALTHY",IF(B9&gt;=40,"WARNING","CRITICAL"))</f>
        <v>WARNING</v>
      </c>
      <c r="F9" s="12" t="str">
        <f>IF(AND(B9&gt;=44, D9&gt;=100),"NORMAL",IF(D9&lt;50,"STALLED","DEGRADED"))</f>
        <v>STALLED</v>
      </c>
    </row>
    <row r="12" spans="1:6" ht="16.5" x14ac:dyDescent="0.4">
      <c r="A12" s="13" t="s">
        <v>108</v>
      </c>
    </row>
    <row r="14" spans="1:6" x14ac:dyDescent="0.4">
      <c r="A14" s="5" t="s">
        <v>109</v>
      </c>
      <c r="B14" s="5" t="s">
        <v>110</v>
      </c>
      <c r="C14" s="5" t="s">
        <v>111</v>
      </c>
      <c r="D14" s="5" t="s">
        <v>44</v>
      </c>
      <c r="E14" s="5" t="s">
        <v>112</v>
      </c>
    </row>
    <row r="15" spans="1:6" x14ac:dyDescent="0.4">
      <c r="A15" t="s">
        <v>113</v>
      </c>
      <c r="B15">
        <v>15</v>
      </c>
      <c r="C15">
        <v>300</v>
      </c>
      <c r="D15">
        <f>B15-C15</f>
        <v>-285</v>
      </c>
      <c r="E15" s="9">
        <f>IF(C15&gt;0, B15/C15, 0)</f>
        <v>0.05</v>
      </c>
    </row>
    <row r="16" spans="1:6" x14ac:dyDescent="0.4">
      <c r="A16" t="s">
        <v>32</v>
      </c>
      <c r="B16">
        <v>4</v>
      </c>
      <c r="C16">
        <v>5</v>
      </c>
      <c r="D16">
        <f>B16-C16</f>
        <v>-1</v>
      </c>
      <c r="E16" s="9">
        <f>IF(C16&gt;0, B16/C16, 0)</f>
        <v>0.8</v>
      </c>
    </row>
    <row r="17" spans="1:5" x14ac:dyDescent="0.4">
      <c r="A17" t="s">
        <v>114</v>
      </c>
      <c r="B17">
        <v>5</v>
      </c>
      <c r="C17">
        <v>27</v>
      </c>
      <c r="D17">
        <f>B17-C17</f>
        <v>-22</v>
      </c>
      <c r="E17" s="9">
        <f>IF(C17&gt;0, B17/C17, 0)</f>
        <v>0.18518518518518517</v>
      </c>
    </row>
    <row r="18" spans="1:5" x14ac:dyDescent="0.4">
      <c r="A18" t="s">
        <v>115</v>
      </c>
      <c r="B18">
        <v>0</v>
      </c>
      <c r="C18">
        <v>95</v>
      </c>
      <c r="D18">
        <f>B18-C18</f>
        <v>-95</v>
      </c>
      <c r="E18" s="9">
        <f>IF(C18&gt;0, B18/C18, 0)</f>
        <v>0</v>
      </c>
    </row>
    <row r="19" spans="1:5" x14ac:dyDescent="0.4">
      <c r="A19" t="s">
        <v>116</v>
      </c>
      <c r="B19">
        <v>0</v>
      </c>
      <c r="C19">
        <v>2</v>
      </c>
      <c r="D19">
        <f>B19-C19</f>
        <v>-2</v>
      </c>
      <c r="E19" s="9">
        <f>IF(C19&gt;0, B19/C19, 0)</f>
        <v>0</v>
      </c>
    </row>
    <row r="20" spans="1:5" x14ac:dyDescent="0.4">
      <c r="A20" t="s">
        <v>117</v>
      </c>
      <c r="B20">
        <v>0</v>
      </c>
      <c r="C20">
        <v>3</v>
      </c>
      <c r="D20">
        <f>B20-C20</f>
        <v>-3</v>
      </c>
      <c r="E20" s="9">
        <f>IF(C20&gt;0, B20/C20, 0)</f>
        <v>0</v>
      </c>
    </row>
    <row r="23" spans="1:5" ht="16.5" x14ac:dyDescent="0.4">
      <c r="A23" s="13" t="s">
        <v>118</v>
      </c>
    </row>
    <row r="24" spans="1:5" x14ac:dyDescent="0.4">
      <c r="A24" s="19" t="s">
        <v>122</v>
      </c>
      <c r="B24" t="s">
        <v>124</v>
      </c>
      <c r="C24" t="s">
        <v>125</v>
      </c>
      <c r="D24" t="s">
        <v>126</v>
      </c>
      <c r="E24" t="s">
        <v>127</v>
      </c>
    </row>
    <row r="25" spans="1:5" x14ac:dyDescent="0.4">
      <c r="A25" s="20" t="s">
        <v>68</v>
      </c>
      <c r="B25" s="14">
        <v>39</v>
      </c>
      <c r="C25" s="21">
        <v>2.7</v>
      </c>
      <c r="D25" s="14">
        <v>2.5</v>
      </c>
      <c r="E25" s="21">
        <v>2.8888888888888888</v>
      </c>
    </row>
    <row r="26" spans="1:5" x14ac:dyDescent="0.4">
      <c r="A26" s="20" t="s">
        <v>58</v>
      </c>
      <c r="B26" s="14">
        <v>52</v>
      </c>
      <c r="C26" s="21">
        <v>2.2000000000000002</v>
      </c>
      <c r="D26" s="14">
        <v>4</v>
      </c>
      <c r="E26" s="21">
        <v>5.9090909090909083</v>
      </c>
    </row>
    <row r="27" spans="1:5" x14ac:dyDescent="0.4">
      <c r="A27" s="20" t="s">
        <v>53</v>
      </c>
      <c r="B27" s="14">
        <v>84</v>
      </c>
      <c r="C27" s="21">
        <v>0.8</v>
      </c>
      <c r="D27" s="14">
        <v>1</v>
      </c>
      <c r="E27" s="21">
        <v>105</v>
      </c>
    </row>
    <row r="28" spans="1:5" x14ac:dyDescent="0.4">
      <c r="A28" s="20" t="s">
        <v>62</v>
      </c>
      <c r="B28" s="14">
        <v>40</v>
      </c>
      <c r="C28" s="21">
        <v>2.5</v>
      </c>
      <c r="D28" s="14">
        <v>4.666666666666667</v>
      </c>
      <c r="E28" s="21">
        <v>1.1428571428571428</v>
      </c>
    </row>
    <row r="29" spans="1:5" x14ac:dyDescent="0.4">
      <c r="A29" s="20" t="s">
        <v>74</v>
      </c>
      <c r="B29" s="14">
        <v>28</v>
      </c>
      <c r="C29" s="21">
        <v>3</v>
      </c>
      <c r="D29" s="14">
        <v>2</v>
      </c>
      <c r="E29" s="21">
        <v>4.666666666666667</v>
      </c>
    </row>
    <row r="30" spans="1:5" x14ac:dyDescent="0.4">
      <c r="A30" s="20" t="s">
        <v>123</v>
      </c>
      <c r="B30" s="14">
        <v>45.25</v>
      </c>
      <c r="C30" s="21">
        <v>2.3624999999999998</v>
      </c>
      <c r="D30" s="14">
        <v>3.25</v>
      </c>
      <c r="E30" s="21">
        <v>0.73667073667073668</v>
      </c>
    </row>
    <row r="34" spans="1:1" ht="16.5" x14ac:dyDescent="0.4">
      <c r="A34" s="13" t="s">
        <v>128</v>
      </c>
    </row>
  </sheetData>
  <sheetProtection algorithmName="SHA-512" hashValue="oQ65TQNafyf91Rn0xe9MmJ+JRpCXwfxXAg/5pvTWOjy3PB6ZNugp7nLhpc/sA49EsGGgekR+hpb3ZQljObv3ng==" saltValue="u2/mekEon2tzcUnkwyrD/w==" spinCount="100000" sheet="1" objects="1" scenarios="1" deleteRows="0" selectLockedCells="1" sort="0"/>
  <mergeCells count="1">
    <mergeCell ref="A1:F1"/>
  </mergeCells>
  <phoneticPr fontId="7" type="noConversion"/>
  <conditionalFormatting sqref="B6:B9">
    <cfRule type="dataBar" priority="1">
      <dataBar>
        <cfvo type="min"/>
        <cfvo type="max"/>
        <color rgb="FF78904D"/>
      </dataBar>
      <extLst>
        <ext xmlns:x14="http://schemas.microsoft.com/office/spreadsheetml/2009/9/main" uri="{B025F937-C7B1-47D3-B67F-A62EFF666E3E}">
          <x14:id>{F7A12E25-4375-4CE4-849E-14EF2EF94309}</x14:id>
        </ext>
      </extLst>
    </cfRule>
  </conditionalFormatting>
  <conditionalFormatting sqref="E15:E20">
    <cfRule type="colorScale" priority="2">
      <colorScale>
        <cfvo type="min"/>
        <cfvo type="formula" val="50"/>
        <cfvo type="max"/>
        <color rgb="FFE8724C"/>
        <color rgb="FFF0B030"/>
        <color rgb="FF78904D"/>
      </colorScale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A12E25-4375-4CE4-849E-14EF2EF94309}">
            <x14:dataBar minLength="0" maxLength="100" negativeBarColorSameAsPositive="1" axisPosition="none">
              <x14:cfvo type="min"/>
              <x14:cfvo type="max"/>
            </x14:dataBar>
          </x14:cfRule>
          <xm:sqref>B6:B9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F57C5-4044-4BD9-AE56-486BE40007AA}">
  <dimension ref="A1:G19"/>
  <sheetViews>
    <sheetView workbookViewId="0"/>
  </sheetViews>
  <sheetFormatPr defaultRowHeight="13.9" x14ac:dyDescent="0.4"/>
  <cols>
    <col min="1" max="1" width="18.59765625" customWidth="1"/>
    <col min="2" max="2" width="14.59765625" customWidth="1"/>
    <col min="3" max="3" width="12.59765625" customWidth="1"/>
    <col min="4" max="4" width="16.59765625" customWidth="1"/>
    <col min="5" max="6" width="12.59765625" customWidth="1"/>
    <col min="7" max="7" width="16.59765625" customWidth="1"/>
  </cols>
  <sheetData>
    <row r="1" spans="1:7" ht="20.25" x14ac:dyDescent="0.4">
      <c r="A1" s="17" t="s">
        <v>83</v>
      </c>
      <c r="B1" s="17"/>
      <c r="C1" s="17"/>
      <c r="D1" s="17"/>
      <c r="E1" s="17"/>
      <c r="F1" s="17"/>
      <c r="G1" s="17"/>
    </row>
    <row r="2" spans="1:7" x14ac:dyDescent="0.4">
      <c r="A2" s="2" t="s">
        <v>84</v>
      </c>
    </row>
    <row r="4" spans="1:7" x14ac:dyDescent="0.4">
      <c r="A4" s="5" t="s">
        <v>40</v>
      </c>
      <c r="B4" s="5" t="s">
        <v>85</v>
      </c>
      <c r="C4" s="5" t="s">
        <v>86</v>
      </c>
      <c r="D4" s="5" t="s">
        <v>87</v>
      </c>
      <c r="E4" s="5" t="s">
        <v>88</v>
      </c>
      <c r="F4" s="5" t="s">
        <v>89</v>
      </c>
      <c r="G4" s="5" t="s">
        <v>90</v>
      </c>
    </row>
    <row r="5" spans="1:7" x14ac:dyDescent="0.4">
      <c r="A5" s="6" t="s">
        <v>52</v>
      </c>
      <c r="B5" s="7">
        <v>2</v>
      </c>
      <c r="C5" s="7">
        <v>3</v>
      </c>
      <c r="D5" s="7">
        <v>5</v>
      </c>
      <c r="E5" s="7">
        <v>1</v>
      </c>
      <c r="F5" s="7">
        <v>4</v>
      </c>
      <c r="G5" s="7">
        <f>SUM(B5)</f>
        <v>2</v>
      </c>
    </row>
    <row r="6" spans="1:7" x14ac:dyDescent="0.4">
      <c r="A6" s="6" t="s">
        <v>57</v>
      </c>
      <c r="B6" s="7">
        <v>4</v>
      </c>
      <c r="C6" s="7">
        <v>5</v>
      </c>
      <c r="D6" s="7">
        <v>3</v>
      </c>
      <c r="E6" s="7">
        <v>2</v>
      </c>
      <c r="F6" s="7">
        <v>1</v>
      </c>
      <c r="G6" s="7">
        <f>SUM(B6)</f>
        <v>4</v>
      </c>
    </row>
    <row r="7" spans="1:7" x14ac:dyDescent="0.4">
      <c r="A7" s="6" t="s">
        <v>61</v>
      </c>
      <c r="B7" s="7">
        <v>3</v>
      </c>
      <c r="C7" s="7">
        <v>4</v>
      </c>
      <c r="D7" s="7">
        <v>5</v>
      </c>
      <c r="E7" s="7">
        <v>5</v>
      </c>
      <c r="F7" s="7">
        <v>3</v>
      </c>
      <c r="G7" s="7">
        <f>SUM(B7)</f>
        <v>3</v>
      </c>
    </row>
    <row r="8" spans="1:7" x14ac:dyDescent="0.4">
      <c r="A8" s="6" t="s">
        <v>65</v>
      </c>
      <c r="B8" s="7">
        <v>5</v>
      </c>
      <c r="C8" s="7">
        <v>4</v>
      </c>
      <c r="D8" s="7">
        <v>3</v>
      </c>
      <c r="E8" s="7">
        <v>4</v>
      </c>
      <c r="F8" s="7">
        <v>3</v>
      </c>
      <c r="G8" s="7">
        <f>SUM(B8)</f>
        <v>5</v>
      </c>
    </row>
    <row r="9" spans="1:7" x14ac:dyDescent="0.4">
      <c r="A9" s="6" t="s">
        <v>67</v>
      </c>
      <c r="B9" s="7">
        <v>4</v>
      </c>
      <c r="C9" s="7">
        <v>3</v>
      </c>
      <c r="D9" s="7">
        <v>2</v>
      </c>
      <c r="E9" s="7">
        <v>3</v>
      </c>
      <c r="F9" s="7">
        <v>3</v>
      </c>
      <c r="G9" s="7">
        <f>SUM(B9)</f>
        <v>4</v>
      </c>
    </row>
    <row r="10" spans="1:7" x14ac:dyDescent="0.4">
      <c r="A10" s="6" t="s">
        <v>71</v>
      </c>
      <c r="B10" s="7">
        <v>3</v>
      </c>
      <c r="C10" s="7">
        <v>2</v>
      </c>
      <c r="D10" s="7">
        <v>2</v>
      </c>
      <c r="E10" s="7">
        <v>1</v>
      </c>
      <c r="F10" s="7">
        <v>1</v>
      </c>
      <c r="G10" s="7">
        <f>SUM(B10)</f>
        <v>3</v>
      </c>
    </row>
    <row r="11" spans="1:7" x14ac:dyDescent="0.4">
      <c r="A11" s="6" t="s">
        <v>73</v>
      </c>
      <c r="B11" s="7">
        <v>2</v>
      </c>
      <c r="C11" s="7">
        <v>3</v>
      </c>
      <c r="D11" s="7">
        <v>1</v>
      </c>
      <c r="E11" s="7">
        <v>1</v>
      </c>
      <c r="F11" s="7">
        <v>1</v>
      </c>
      <c r="G11" s="7">
        <f>SUM(B11)</f>
        <v>2</v>
      </c>
    </row>
    <row r="12" spans="1:7" x14ac:dyDescent="0.4">
      <c r="A12" s="6" t="s">
        <v>76</v>
      </c>
      <c r="B12" s="7">
        <v>5</v>
      </c>
      <c r="C12" s="7">
        <v>4</v>
      </c>
      <c r="D12" s="7">
        <v>4</v>
      </c>
      <c r="E12" s="7">
        <v>5</v>
      </c>
      <c r="F12" s="7">
        <v>4</v>
      </c>
      <c r="G12" s="7">
        <f>SUM(B12)</f>
        <v>5</v>
      </c>
    </row>
    <row r="15" spans="1:7" ht="16.5" x14ac:dyDescent="0.4">
      <c r="A15" s="13" t="s">
        <v>91</v>
      </c>
    </row>
    <row r="16" spans="1:7" x14ac:dyDescent="0.4">
      <c r="A16" t="s">
        <v>92</v>
      </c>
    </row>
    <row r="17" spans="1:1" x14ac:dyDescent="0.4">
      <c r="A17" t="s">
        <v>93</v>
      </c>
    </row>
    <row r="18" spans="1:1" x14ac:dyDescent="0.4">
      <c r="A18" t="s">
        <v>94</v>
      </c>
    </row>
    <row r="19" spans="1:1" x14ac:dyDescent="0.4">
      <c r="A19" s="18" t="s">
        <v>95</v>
      </c>
    </row>
  </sheetData>
  <sheetProtection algorithmName="SHA-512" hashValue="zx3hld2Tue8DtOD5GKGJgpEp0TbFixAjcE6CzqV7Kw6mJj/o7Obb6V+jh/VpSGvavL3zKIM8WusaY/W6KMS/NQ==" saltValue="pVKBsQjfzk+x4oD4s9PSRg==" spinCount="100000" sheet="1" objects="1" scenarios="1" deleteRows="0" selectLockedCells="1" sort="0"/>
  <mergeCells count="1">
    <mergeCell ref="A1:G1"/>
  </mergeCells>
  <phoneticPr fontId="7" type="noConversion"/>
  <conditionalFormatting sqref="B5:F12">
    <cfRule type="colorScale" priority="1">
      <colorScale>
        <cfvo type="min"/>
        <cfvo type="formula" val="50"/>
        <cfvo type="max"/>
        <color rgb="FFFFFFFF"/>
        <color rgb="FFF0B030"/>
        <color rgb="FFE8724C"/>
      </colorScale>
    </cfRule>
  </conditionalFormatting>
  <conditionalFormatting sqref="G5:G12">
    <cfRule type="dataBar" priority="2">
      <dataBar>
        <cfvo type="min"/>
        <cfvo type="max"/>
        <color rgb="FF78904D"/>
      </dataBar>
      <extLst>
        <ext xmlns:x14="http://schemas.microsoft.com/office/spreadsheetml/2009/9/main" uri="{B025F937-C7B1-47D3-B67F-A62EFF666E3E}">
          <x14:id>{F531494F-46D1-4391-949C-BE4B4BC466F4}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31494F-46D1-4391-949C-BE4B4BC466F4}">
            <x14:dataBar minLength="0" maxLength="100" negativeBarColorSameAsPositive="1" axisPosition="none">
              <x14:cfvo type="min"/>
              <x14:cfvo type="max"/>
            </x14:dataBar>
          </x14:cfRule>
          <xm:sqref>G5:G12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4EB38-3D3B-45F6-AB6A-ACB053257F5F}">
  <dimension ref="A1:P20"/>
  <sheetViews>
    <sheetView workbookViewId="0"/>
  </sheetViews>
  <sheetFormatPr defaultRowHeight="13.9" x14ac:dyDescent="0.4"/>
  <cols>
    <col min="1" max="1" width="18.59765625" customWidth="1"/>
    <col min="2" max="4" width="13.59765625" customWidth="1"/>
    <col min="5" max="5" width="8.59765625" customWidth="1"/>
    <col min="6" max="6" width="9.59765625" customWidth="1"/>
    <col min="7" max="7" width="12.59765625" customWidth="1"/>
    <col min="8" max="8" width="11.59765625" customWidth="1"/>
    <col min="9" max="9" width="13.59765625" customWidth="1"/>
    <col min="10" max="10" width="12.59765625" customWidth="1"/>
    <col min="11" max="11" width="14.59765625" customWidth="1"/>
    <col min="12" max="12" width="22.59765625" customWidth="1"/>
    <col min="13" max="16" width="0" hidden="1" customWidth="1"/>
  </cols>
  <sheetData>
    <row r="1" spans="1:16" ht="22.5" x14ac:dyDescent="0.4">
      <c r="A1" s="10" t="s">
        <v>38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6" x14ac:dyDescent="0.4">
      <c r="A2" s="3" t="s">
        <v>39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spans="1:16" x14ac:dyDescent="0.4">
      <c r="A4" s="5" t="s">
        <v>40</v>
      </c>
      <c r="B4" s="5" t="s">
        <v>41</v>
      </c>
      <c r="C4" s="5" t="s">
        <v>42</v>
      </c>
      <c r="D4" s="5" t="s">
        <v>43</v>
      </c>
      <c r="E4" s="5" t="s">
        <v>44</v>
      </c>
      <c r="F4" s="5" t="s">
        <v>45</v>
      </c>
      <c r="G4" s="5" t="s">
        <v>46</v>
      </c>
      <c r="H4" s="5" t="s">
        <v>47</v>
      </c>
      <c r="I4" s="5" t="s">
        <v>48</v>
      </c>
      <c r="J4" s="5" t="s">
        <v>49</v>
      </c>
      <c r="K4" s="5" t="s">
        <v>50</v>
      </c>
      <c r="L4" s="5" t="s">
        <v>51</v>
      </c>
    </row>
    <row r="5" spans="1:16" x14ac:dyDescent="0.4">
      <c r="A5" s="6" t="s">
        <v>52</v>
      </c>
      <c r="B5" s="7" t="s">
        <v>53</v>
      </c>
      <c r="C5" s="7">
        <v>82</v>
      </c>
      <c r="D5" s="7">
        <v>84</v>
      </c>
      <c r="E5" s="7">
        <f>D5-C5</f>
        <v>2</v>
      </c>
      <c r="F5" s="7">
        <v>0.8</v>
      </c>
      <c r="G5" s="7">
        <v>1</v>
      </c>
      <c r="H5" s="7" t="s">
        <v>54</v>
      </c>
      <c r="I5" s="7"/>
      <c r="J5" s="7" t="str">
        <f>IF(OR(D5&lt;30, F5&gt;2.5), "HIGH RISK", IF(AND(D5&gt;=30, D5&lt;50), "WATCH", "STABLE"))</f>
        <v>STABLE</v>
      </c>
      <c r="K5" s="7" t="s">
        <v>55</v>
      </c>
      <c r="L5" s="7" t="s">
        <v>56</v>
      </c>
      <c r="M5">
        <v>78</v>
      </c>
      <c r="N5">
        <v>80</v>
      </c>
      <c r="O5">
        <v>82</v>
      </c>
      <c r="P5">
        <v>84</v>
      </c>
    </row>
    <row r="6" spans="1:16" x14ac:dyDescent="0.4">
      <c r="A6" s="6" t="s">
        <v>57</v>
      </c>
      <c r="B6" s="7" t="s">
        <v>58</v>
      </c>
      <c r="C6" s="7">
        <v>40</v>
      </c>
      <c r="D6" s="7">
        <v>52</v>
      </c>
      <c r="E6" s="7">
        <f>D6-C6</f>
        <v>12</v>
      </c>
      <c r="F6" s="7">
        <v>2.2000000000000002</v>
      </c>
      <c r="G6" s="7">
        <v>4</v>
      </c>
      <c r="H6" s="7" t="s">
        <v>59</v>
      </c>
      <c r="I6" s="7"/>
      <c r="J6" s="7" t="str">
        <f>IF(OR(D6&lt;30, F6&gt;2.5), "HIGH RISK", IF(AND(D6&gt;=30, D6&lt;50), "WATCH", "STABLE"))</f>
        <v>STABLE</v>
      </c>
      <c r="K6" s="7" t="s">
        <v>55</v>
      </c>
      <c r="L6" s="7" t="s">
        <v>60</v>
      </c>
      <c r="M6">
        <v>30</v>
      </c>
      <c r="N6">
        <v>35</v>
      </c>
      <c r="O6">
        <v>40</v>
      </c>
      <c r="P6">
        <v>52</v>
      </c>
    </row>
    <row r="7" spans="1:16" x14ac:dyDescent="0.4">
      <c r="A7" s="6" t="s">
        <v>61</v>
      </c>
      <c r="B7" s="7" t="s">
        <v>62</v>
      </c>
      <c r="C7" s="7">
        <v>50</v>
      </c>
      <c r="D7" s="7">
        <v>52</v>
      </c>
      <c r="E7" s="7">
        <f>D7-C7</f>
        <v>2</v>
      </c>
      <c r="F7" s="7">
        <v>2.5</v>
      </c>
      <c r="G7" s="7">
        <v>5</v>
      </c>
      <c r="H7" s="7" t="s">
        <v>63</v>
      </c>
      <c r="I7" s="7"/>
      <c r="J7" s="7" t="str">
        <f>IF(OR(D7&lt;30, F7&gt;2.5), "HIGH RISK", IF(AND(D7&gt;=30, D7&lt;50), "WATCH", "STABLE"))</f>
        <v>STABLE</v>
      </c>
      <c r="K7" s="7" t="s">
        <v>55</v>
      </c>
      <c r="L7" s="7" t="s">
        <v>64</v>
      </c>
      <c r="M7">
        <v>45</v>
      </c>
      <c r="N7">
        <v>50</v>
      </c>
      <c r="O7">
        <v>48</v>
      </c>
      <c r="P7">
        <v>52</v>
      </c>
    </row>
    <row r="8" spans="1:16" x14ac:dyDescent="0.4">
      <c r="A8" s="6" t="s">
        <v>65</v>
      </c>
      <c r="B8" s="7" t="s">
        <v>62</v>
      </c>
      <c r="C8" s="7">
        <v>45</v>
      </c>
      <c r="D8" s="7">
        <v>43</v>
      </c>
      <c r="E8" s="7">
        <f>D8-C8</f>
        <v>-2</v>
      </c>
      <c r="F8" s="7">
        <v>2</v>
      </c>
      <c r="G8" s="7">
        <v>4</v>
      </c>
      <c r="H8" s="7" t="s">
        <v>59</v>
      </c>
      <c r="I8" s="7"/>
      <c r="J8" s="7" t="str">
        <f>IF(OR(D8&lt;30, F8&gt;2.5), "HIGH RISK", IF(AND(D8&gt;=30, D8&lt;50), "WATCH", "STABLE"))</f>
        <v>WATCH</v>
      </c>
      <c r="K8" s="7" t="s">
        <v>55</v>
      </c>
      <c r="L8" s="7" t="s">
        <v>66</v>
      </c>
      <c r="M8">
        <v>42</v>
      </c>
      <c r="N8">
        <v>45</v>
      </c>
      <c r="O8">
        <v>42</v>
      </c>
      <c r="P8">
        <v>43</v>
      </c>
    </row>
    <row r="9" spans="1:16" x14ac:dyDescent="0.4">
      <c r="A9" s="11" t="s">
        <v>67</v>
      </c>
      <c r="B9" s="12" t="s">
        <v>68</v>
      </c>
      <c r="C9" s="12">
        <v>38</v>
      </c>
      <c r="D9" s="12">
        <v>40</v>
      </c>
      <c r="E9" s="12">
        <f>D9-C9</f>
        <v>2</v>
      </c>
      <c r="F9" s="12">
        <v>2.6</v>
      </c>
      <c r="G9" s="12">
        <v>3</v>
      </c>
      <c r="H9" s="12" t="s">
        <v>69</v>
      </c>
      <c r="I9" s="12"/>
      <c r="J9" s="12" t="str">
        <f>IF(OR(D9&lt;30, F9&gt;2.5), "HIGH RISK", IF(AND(D9&gt;=30, D9&lt;50), "WATCH", "STABLE"))</f>
        <v>HIGH RISK</v>
      </c>
      <c r="K9" s="12" t="s">
        <v>55</v>
      </c>
      <c r="L9" s="12" t="s">
        <v>70</v>
      </c>
      <c r="M9">
        <v>45</v>
      </c>
      <c r="N9">
        <v>38</v>
      </c>
      <c r="O9">
        <v>38</v>
      </c>
      <c r="P9">
        <v>40</v>
      </c>
    </row>
    <row r="10" spans="1:16" x14ac:dyDescent="0.4">
      <c r="A10" s="11" t="s">
        <v>71</v>
      </c>
      <c r="B10" s="12" t="s">
        <v>68</v>
      </c>
      <c r="C10" s="12">
        <v>30</v>
      </c>
      <c r="D10" s="12">
        <v>38</v>
      </c>
      <c r="E10" s="12">
        <f>D10-C10</f>
        <v>8</v>
      </c>
      <c r="F10" s="12">
        <v>2.8</v>
      </c>
      <c r="G10" s="12">
        <v>2</v>
      </c>
      <c r="H10" s="12" t="s">
        <v>54</v>
      </c>
      <c r="I10" s="12"/>
      <c r="J10" s="12" t="str">
        <f>IF(OR(D10&lt;30, F10&gt;2.5), "HIGH RISK", IF(AND(D10&gt;=30, D10&lt;50), "WATCH", "STABLE"))</f>
        <v>HIGH RISK</v>
      </c>
      <c r="K10" s="12" t="s">
        <v>55</v>
      </c>
      <c r="L10" s="12" t="s">
        <v>72</v>
      </c>
      <c r="M10">
        <v>28</v>
      </c>
      <c r="N10">
        <v>30</v>
      </c>
      <c r="O10">
        <v>30</v>
      </c>
      <c r="P10">
        <v>38</v>
      </c>
    </row>
    <row r="11" spans="1:16" x14ac:dyDescent="0.4">
      <c r="A11" s="11" t="s">
        <v>73</v>
      </c>
      <c r="B11" s="12" t="s">
        <v>74</v>
      </c>
      <c r="C11" s="12">
        <v>33</v>
      </c>
      <c r="D11" s="12">
        <v>28</v>
      </c>
      <c r="E11" s="12">
        <f>D11-C11</f>
        <v>-5</v>
      </c>
      <c r="F11" s="12">
        <v>3</v>
      </c>
      <c r="G11" s="12">
        <v>2</v>
      </c>
      <c r="H11" s="12" t="s">
        <v>54</v>
      </c>
      <c r="I11" s="12"/>
      <c r="J11" s="12" t="str">
        <f>IF(OR(D11&lt;30, F11&gt;2.5), "HIGH RISK", IF(AND(D11&gt;=30, D11&lt;50), "WATCH", "STABLE"))</f>
        <v>HIGH RISK</v>
      </c>
      <c r="K11" s="12" t="s">
        <v>55</v>
      </c>
      <c r="L11" s="12" t="s">
        <v>75</v>
      </c>
      <c r="M11">
        <v>35</v>
      </c>
      <c r="N11">
        <v>33</v>
      </c>
      <c r="O11">
        <v>30</v>
      </c>
      <c r="P11">
        <v>28</v>
      </c>
    </row>
    <row r="12" spans="1:16" x14ac:dyDescent="0.4">
      <c r="A12" s="11" t="s">
        <v>76</v>
      </c>
      <c r="B12" s="12" t="s">
        <v>62</v>
      </c>
      <c r="C12" s="12">
        <v>0</v>
      </c>
      <c r="D12" s="12">
        <v>25</v>
      </c>
      <c r="E12" s="12">
        <f>D12-C12</f>
        <v>25</v>
      </c>
      <c r="F12" s="12">
        <v>3</v>
      </c>
      <c r="G12" s="12">
        <v>5</v>
      </c>
      <c r="H12" s="12" t="s">
        <v>63</v>
      </c>
      <c r="I12" s="12"/>
      <c r="J12" s="12" t="str">
        <f>IF(OR(D12&lt;30, F12&gt;2.5), "HIGH RISK", IF(AND(D12&gt;=30, D12&lt;50), "WATCH", "STABLE"))</f>
        <v>HIGH RISK</v>
      </c>
      <c r="K12" s="12" t="s">
        <v>55</v>
      </c>
      <c r="L12" s="12" t="s">
        <v>77</v>
      </c>
      <c r="M12">
        <v>0</v>
      </c>
      <c r="N12">
        <v>0</v>
      </c>
      <c r="O12">
        <v>0</v>
      </c>
      <c r="P12">
        <v>25</v>
      </c>
    </row>
    <row r="15" spans="1:16" ht="16.5" x14ac:dyDescent="0.4">
      <c r="A15" s="13" t="s">
        <v>78</v>
      </c>
    </row>
    <row r="16" spans="1:16" x14ac:dyDescent="0.4">
      <c r="A16" s="4" t="s">
        <v>79</v>
      </c>
      <c r="B16" s="14">
        <f>AVERAGE(D5:D12)</f>
        <v>45.25</v>
      </c>
    </row>
    <row r="17" spans="1:5" x14ac:dyDescent="0.4">
      <c r="A17" s="4" t="s">
        <v>80</v>
      </c>
      <c r="B17" s="14">
        <v>50</v>
      </c>
    </row>
    <row r="18" spans="1:5" x14ac:dyDescent="0.4">
      <c r="A18" s="4" t="s">
        <v>81</v>
      </c>
      <c r="B18" s="14">
        <f>B17-B16</f>
        <v>4.75</v>
      </c>
    </row>
    <row r="20" spans="1:5" x14ac:dyDescent="0.4">
      <c r="A20" s="16" t="s">
        <v>82</v>
      </c>
      <c r="B20" s="15"/>
      <c r="C20" s="15"/>
      <c r="D20" s="15"/>
      <c r="E20" s="15"/>
    </row>
  </sheetData>
  <sheetProtection algorithmName="SHA-512" hashValue="T5wGVaPwr5IWY7iByvbbkktzSiLS+Nze2qIx9Q0z8Q3ycvUsAbUZNGD5OVoeJJndahsOwQvL+OYWBiqeD1yEDA==" saltValue="S/v5yrchROgmoi57fCBRlw==" spinCount="100000" sheet="1" objects="1" scenarios="1" deleteRows="0" selectLockedCells="1" sort="0"/>
  <mergeCells count="3">
    <mergeCell ref="A1:L1"/>
    <mergeCell ref="A2:L2"/>
    <mergeCell ref="A20:E20"/>
  </mergeCells>
  <phoneticPr fontId="7" type="noConversion"/>
  <conditionalFormatting sqref="C5:D12">
    <cfRule type="dataBar" priority="1">
      <dataBar>
        <cfvo type="min"/>
        <cfvo type="max"/>
        <color rgb="FF78904D"/>
      </dataBar>
      <extLst>
        <ext xmlns:x14="http://schemas.microsoft.com/office/spreadsheetml/2009/9/main" uri="{B025F937-C7B1-47D3-B67F-A62EFF666E3E}">
          <x14:id>{496070D0-7265-4547-8ECD-AECCA45828E3}</x14:id>
        </ext>
      </extLst>
    </cfRule>
  </conditionalFormatting>
  <conditionalFormatting sqref="E5:E12">
    <cfRule type="colorScale" priority="2">
      <colorScale>
        <cfvo type="min"/>
        <cfvo type="formula" val="50"/>
        <cfvo type="max"/>
        <color rgb="FFE8724C"/>
        <color rgb="FFFFFFFF"/>
        <color rgb="FF78904D"/>
      </colorScale>
    </cfRule>
  </conditionalFormatting>
  <conditionalFormatting sqref="F5:F12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G5:G12">
    <cfRule type="aboveAverage" dxfId="0" priority="4" stopIfTrue="1"/>
  </conditionalFormatting>
  <dataValidations count="1">
    <dataValidation type="list" allowBlank="1" showInputMessage="1" showErrorMessage="1" sqref="K5:K12" xr:uid="{1327ED1B-402C-4ED5-9DFD-EF751406204D}">
      <formula1>"DEEP RESEARCH,MONITOR,HARVEST,RE-SEED,UPGRADE"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6070D0-7265-4547-8ECD-AECCA45828E3}">
            <x14:dataBar minLength="0" maxLength="100" negativeBarColorSameAsPositive="1" axisPosition="none">
              <x14:cfvo type="min"/>
              <x14:cfvo type="max"/>
            </x14:dataBar>
          </x14:cfRule>
          <xm:sqref>C5:D12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B91C67C6-0681-4826-AF60-773CAF7257F8}">
          <x14:colorSeries rgb="FF78904D"/>
          <x14:colorNegative rgb="FFD00000"/>
          <x14:colorAxis rgb="FF000000"/>
          <x14:colorMarkers rgb="FFD00000"/>
          <x14:colorFirst rgb="FFD00000"/>
          <x14:colorLast rgb="FFD00000"/>
          <x14:colorHigh rgb="FF58B846"/>
          <x14:colorLow rgb="FFE8724C"/>
          <x14:sparklines>
            <x14:sparkline>
              <xm:f>'Tech Watchlist'!$M$5:$P$5</xm:f>
              <xm:sqref>I5</xm:sqref>
            </x14:sparkline>
            <x14:sparkline>
              <xm:f>'Tech Watchlist'!$M$6:$P$6</xm:f>
              <xm:sqref>I6</xm:sqref>
            </x14:sparkline>
            <x14:sparkline>
              <xm:f>'Tech Watchlist'!$M$7:$P$7</xm:f>
              <xm:sqref>I7</xm:sqref>
            </x14:sparkline>
            <x14:sparkline>
              <xm:f>'Tech Watchlist'!$M$8:$P$8</xm:f>
              <xm:sqref>I8</xm:sqref>
            </x14:sparkline>
            <x14:sparkline>
              <xm:f>'Tech Watchlist'!$M$9:$P$9</xm:f>
              <xm:sqref>I9</xm:sqref>
            </x14:sparkline>
            <x14:sparkline>
              <xm:f>'Tech Watchlist'!$M$10:$P$10</xm:f>
              <xm:sqref>I10</xm:sqref>
            </x14:sparkline>
            <x14:sparkline>
              <xm:f>'Tech Watchlist'!$M$11:$P$11</xm:f>
              <xm:sqref>I11</xm:sqref>
            </x14:sparkline>
            <x14:sparkline>
              <xm:f>'Tech Watchlist'!$M$12:$P$12</xm:f>
              <xm:sqref>I12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40C40-0D6F-4DD2-8245-BABDD6E23A77}">
  <dimension ref="A1:H18"/>
  <sheetViews>
    <sheetView workbookViewId="0"/>
  </sheetViews>
  <sheetFormatPr defaultRowHeight="13.9" x14ac:dyDescent="0.4"/>
  <cols>
    <col min="1" max="1" width="22.59765625" customWidth="1"/>
    <col min="2" max="2" width="18.59765625" customWidth="1"/>
    <col min="3" max="3" width="10.59765625" customWidth="1"/>
    <col min="4" max="5" width="16.59765625" customWidth="1"/>
    <col min="6" max="6" width="14.59765625" customWidth="1"/>
    <col min="7" max="7" width="10.59765625" customWidth="1"/>
    <col min="8" max="8" width="14.59765625" customWidth="1"/>
  </cols>
  <sheetData>
    <row r="1" spans="1:8" ht="24.75" x14ac:dyDescent="0.4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4">
      <c r="A2" s="3" t="s">
        <v>1</v>
      </c>
      <c r="B2" s="3"/>
      <c r="C2" s="3"/>
      <c r="D2" s="3"/>
      <c r="E2" s="3"/>
      <c r="F2" s="3"/>
      <c r="G2" s="3"/>
      <c r="H2" s="3"/>
    </row>
    <row r="4" spans="1:8" x14ac:dyDescent="0.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</row>
    <row r="5" spans="1:8" x14ac:dyDescent="0.4">
      <c r="A5" s="6" t="s">
        <v>10</v>
      </c>
      <c r="B5" s="7" t="s">
        <v>11</v>
      </c>
      <c r="C5" s="7" t="s">
        <v>12</v>
      </c>
      <c r="D5" s="7">
        <v>50</v>
      </c>
      <c r="E5" s="7">
        <v>0</v>
      </c>
      <c r="F5" s="7">
        <v>8</v>
      </c>
      <c r="G5" s="7" t="s">
        <v>13</v>
      </c>
      <c r="H5" s="7" t="s">
        <v>14</v>
      </c>
    </row>
    <row r="6" spans="1:8" x14ac:dyDescent="0.4">
      <c r="A6" s="6" t="s">
        <v>15</v>
      </c>
      <c r="B6" s="7" t="s">
        <v>16</v>
      </c>
      <c r="C6" s="7" t="s">
        <v>12</v>
      </c>
      <c r="D6" s="7">
        <v>30</v>
      </c>
      <c r="E6" s="7">
        <v>15</v>
      </c>
      <c r="F6" s="7">
        <v>0</v>
      </c>
      <c r="G6" s="7" t="s">
        <v>13</v>
      </c>
      <c r="H6" s="7" t="s">
        <v>17</v>
      </c>
    </row>
    <row r="7" spans="1:8" x14ac:dyDescent="0.4">
      <c r="A7" s="6" t="s">
        <v>18</v>
      </c>
      <c r="B7" s="7" t="s">
        <v>19</v>
      </c>
      <c r="C7" s="7" t="s">
        <v>20</v>
      </c>
      <c r="D7" s="7">
        <v>45</v>
      </c>
      <c r="E7" s="7">
        <v>0</v>
      </c>
      <c r="F7" s="7">
        <v>5</v>
      </c>
      <c r="G7" s="7" t="s">
        <v>21</v>
      </c>
      <c r="H7" s="7" t="s">
        <v>17</v>
      </c>
    </row>
    <row r="8" spans="1:8" x14ac:dyDescent="0.4">
      <c r="A8" s="6" t="s">
        <v>22</v>
      </c>
      <c r="B8" s="7" t="s">
        <v>23</v>
      </c>
      <c r="C8" s="7" t="s">
        <v>24</v>
      </c>
      <c r="D8" s="7">
        <v>40</v>
      </c>
      <c r="E8" s="7">
        <v>0</v>
      </c>
      <c r="F8" s="7">
        <v>0</v>
      </c>
      <c r="G8" s="7" t="s">
        <v>21</v>
      </c>
      <c r="H8" s="7" t="s">
        <v>17</v>
      </c>
    </row>
    <row r="9" spans="1:8" x14ac:dyDescent="0.4">
      <c r="A9" s="6" t="s">
        <v>25</v>
      </c>
      <c r="B9" s="7" t="s">
        <v>26</v>
      </c>
      <c r="C9" s="7" t="s">
        <v>27</v>
      </c>
      <c r="D9" s="7">
        <v>70</v>
      </c>
      <c r="E9" s="7">
        <v>0</v>
      </c>
      <c r="F9" s="7">
        <v>43</v>
      </c>
      <c r="G9" s="7" t="s">
        <v>21</v>
      </c>
      <c r="H9" s="7" t="s">
        <v>14</v>
      </c>
    </row>
    <row r="10" spans="1:8" x14ac:dyDescent="0.4">
      <c r="A10" s="6" t="s">
        <v>28</v>
      </c>
      <c r="B10" s="7" t="s">
        <v>29</v>
      </c>
      <c r="C10" s="7" t="s">
        <v>27</v>
      </c>
      <c r="D10" s="7">
        <v>0</v>
      </c>
      <c r="E10" s="7">
        <v>0</v>
      </c>
      <c r="F10" s="7">
        <v>15</v>
      </c>
      <c r="G10" s="7" t="s">
        <v>13</v>
      </c>
      <c r="H10" s="7" t="s">
        <v>30</v>
      </c>
    </row>
    <row r="12" spans="1:8" ht="17.649999999999999" x14ac:dyDescent="0.4">
      <c r="A12" s="8" t="s">
        <v>31</v>
      </c>
    </row>
    <row r="13" spans="1:8" x14ac:dyDescent="0.4">
      <c r="A13" t="s">
        <v>32</v>
      </c>
      <c r="B13">
        <v>4</v>
      </c>
    </row>
    <row r="14" spans="1:8" x14ac:dyDescent="0.4">
      <c r="A14" t="s">
        <v>33</v>
      </c>
      <c r="B14">
        <v>2</v>
      </c>
    </row>
    <row r="15" spans="1:8" x14ac:dyDescent="0.4">
      <c r="A15" t="s">
        <v>34</v>
      </c>
      <c r="B15">
        <f>AVERAGE(D5:D10)</f>
        <v>39.166666666666664</v>
      </c>
    </row>
    <row r="16" spans="1:8" x14ac:dyDescent="0.4">
      <c r="A16" t="s">
        <v>35</v>
      </c>
      <c r="B16">
        <f>SUM(E5:E10)</f>
        <v>15</v>
      </c>
    </row>
    <row r="17" spans="1:2" x14ac:dyDescent="0.4">
      <c r="A17" t="s">
        <v>36</v>
      </c>
      <c r="B17">
        <v>300</v>
      </c>
    </row>
    <row r="18" spans="1:2" x14ac:dyDescent="0.4">
      <c r="A18" t="s">
        <v>37</v>
      </c>
      <c r="B18" s="9">
        <f ca="1">B17/B18</f>
        <v>0</v>
      </c>
    </row>
  </sheetData>
  <sheetProtection algorithmName="SHA-512" hashValue="BlqSnZn4sdpHMBrWtRPCkyF2FEWnLWCbb296uSSuDNa80nr/cbUm+nzdDNFFhSBcniwgnDN13zBMjD/o+RqXVw==" saltValue="TJXkR9+NmsRg6wedzZAxmA==" spinCount="100000" sheet="1" objects="1" scenarios="1" deleteRows="0" selectLockedCells="1" sort="0"/>
  <mergeCells count="2">
    <mergeCell ref="A1:H1"/>
    <mergeCell ref="A2:H2"/>
  </mergeCells>
  <phoneticPr fontId="7" type="noConversion"/>
  <conditionalFormatting sqref="D5:D10">
    <cfRule type="dataBar" priority="1">
      <dataBar>
        <cfvo type="min"/>
        <cfvo type="max"/>
        <color rgb="FF78904D"/>
      </dataBar>
      <extLst>
        <ext xmlns:x14="http://schemas.microsoft.com/office/spreadsheetml/2009/9/main" uri="{B025F937-C7B1-47D3-B67F-A62EFF666E3E}">
          <x14:id>{FCFE3631-6629-4635-A9B8-8DB3FB6C9201}</x14:id>
        </ext>
      </extLst>
    </cfRule>
  </conditionalFormatting>
  <conditionalFormatting sqref="F5:F10">
    <cfRule type="colorScale" priority="2">
      <colorScale>
        <cfvo type="min"/>
        <cfvo type="formula" val="50"/>
        <cfvo type="max"/>
        <color rgb="FFFFFFFF"/>
        <color rgb="FFF0B030"/>
        <color rgb="FFE8724C"/>
      </colorScale>
    </cfRule>
  </conditionalFormatting>
  <conditionalFormatting sqref="H5:H10">
    <cfRule type="iconSet" priority="3">
      <iconSet>
        <cfvo type="percent" val="0"/>
        <cfvo type="percent" val="33"/>
        <cfvo type="percent" val="67"/>
      </iconSet>
    </cfRule>
  </conditionalFormatting>
  <conditionalFormatting sqref="E5:E10">
    <cfRule type="top10" dxfId="1" priority="4" rank="1"/>
  </conditionalFormatting>
  <dataValidations count="1">
    <dataValidation type="list" allowBlank="1" showInputMessage="1" showErrorMessage="1" sqref="C5:C10" xr:uid="{199F1B4D-4AB7-481C-B7FE-FD53AE171F52}">
      <formula1>"P1,P2,P3,P4"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FE3631-6629-4635-A9B8-8DB3FB6C9201}">
            <x14:dataBar minLength="0" maxLength="100" negativeBarColorSameAsPositive="1" axisPosition="none">
              <x14:cfvo type="min"/>
              <x14:cfvo type="max"/>
            </x14:dataBar>
          </x14:cfRule>
          <xm:sqref>D5:D10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Portfolio Analysis</vt:lpstr>
      <vt:lpstr>Signal Heat Matrix</vt:lpstr>
      <vt:lpstr>Tech Watchlist</vt:lpstr>
      <vt:lpstr>Farm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 zheng</dc:creator>
  <cp:lastModifiedBy>meng zheng</cp:lastModifiedBy>
  <dcterms:created xsi:type="dcterms:W3CDTF">2026-07-23T14:44:21Z</dcterms:created>
  <dcterms:modified xsi:type="dcterms:W3CDTF">2026-07-23T14:44:26Z</dcterms:modified>
</cp:coreProperties>
</file>